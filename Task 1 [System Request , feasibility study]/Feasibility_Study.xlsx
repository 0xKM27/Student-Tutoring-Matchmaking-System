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easibility Study" sheetId="1" state="visible" r:id="rId3"/>
    <sheet name="Cost-Benefit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<sst xmlns="http://schemas.openxmlformats.org/spreadsheetml/2006/main" count="60" uniqueCount="60">
  <si>
    <t xml:space="preserve">Feasibility Study – Student Tutoring Matchmaking System</t>
  </si>
  <si>
    <t xml:space="preserve">Web/mobile platform that matches students with suitable tutors based on subject, level, availability and ratings, and manages booking, sessions and feedback.</t>
  </si>
  <si>
    <t xml:space="preserve">Type</t>
  </si>
  <si>
    <t xml:space="preserve">Current Situation / Considerations</t>
  </si>
  <si>
    <t xml:space="preserve">Proposed Solution / Benefits</t>
  </si>
  <si>
    <t xml:space="preserve">Feasibility Result</t>
  </si>
  <si>
    <t xml:space="preserve">Technical</t>
  </si>
  <si>
    <t xml:space="preserve">Students find tutors through word of mouth, social-media groups or notice boards; tutor quality and availability cannot be verified; arranging times by chat is slow.</t>
  </si>
  <si>
    <t xml:space="preserve">Web app + mobile app (Android/iOS); database (PostgreSQL); matching algorithm (subject, level, availability, rating); booking calendar and in-app chat; video-call integration; cloud hosting and automatic backup.</t>
  </si>
  <si>
    <t xml:space="preserve">Technically feasible</t>
  </si>
  <si>
    <t xml:space="preserve">Operational</t>
  </si>
  <si>
    <t xml:space="preserve">Students struggle to find the right tutor; tutors have no steady way to reach students; schedule mismatches and no-shows are common; no feedback mechanism.</t>
  </si>
  <si>
    <t xml:space="preserve">Student/tutor profiles; smart matching; one-tap session booking; automatic reminders; ratings and reviews; admin dashboard to approve tutors and handle complaints.</t>
  </si>
  <si>
    <t xml:space="preserve">Operationally feasible</t>
  </si>
  <si>
    <t xml:space="preserve">Economic</t>
  </si>
  <si>
    <t xml:space="preserve">Costs of development or licensing, cloud hosting, notification and video services, and user support.</t>
  </si>
  <si>
    <t xml:space="preserve">Better grades and fewer failed courses; less time wasted searching; extra income for tutors; low running cost; optional small commission per session to sustain the system.</t>
  </si>
  <si>
    <t xml:space="preserve">Cost-effective</t>
  </si>
  <si>
    <t xml:space="preserve">Legal</t>
  </si>
  <si>
    <t xml:space="preserve">The platform stores personal data (some students may be minors) and may handle payments; data-protection rules must be followed.</t>
  </si>
  <si>
    <t xml:space="preserve">Terms and consent screens (parental consent for minors); encryption in transit and at rest; role-based access; tutor identity verification; secure payment gateway; code of conduct and report/block tools.</t>
  </si>
  <si>
    <t xml:space="preserve">Legally feasible</t>
  </si>
  <si>
    <t xml:space="preserve">Schedule</t>
  </si>
  <si>
    <t xml:space="preserve">Searching for tutors and arranging sessions manually is slow and cannot scale across the college.</t>
  </si>
  <si>
    <t xml:space="preserve">Estimated timeline 3–5 months (requirements → design → development → testing → pilot → deployment).</t>
  </si>
  <si>
    <t xml:space="preserve">Achievable timeline</t>
  </si>
  <si>
    <t xml:space="preserve">Cost–Benefit Analysis – Student Tutoring Matchmaking System</t>
  </si>
  <si>
    <t xml:space="preserve">Category</t>
  </si>
  <si>
    <t xml:space="preserve">Description</t>
  </si>
  <si>
    <t xml:space="preserve">Min Cost ($)</t>
  </si>
  <si>
    <t xml:space="preserve">Max Cost ($)</t>
  </si>
  <si>
    <t xml:space="preserve">Benefits</t>
  </si>
  <si>
    <t xml:space="preserve">Estimated Value per Year ($)</t>
  </si>
  <si>
    <t xml:space="preserve">Software</t>
  </si>
  <si>
    <t xml:space="preserve">Development (in-house) or purchase of platform license; matching engine and booking module</t>
  </si>
  <si>
    <t xml:space="preserve">Automated matching saves students the time spent searching for tutors.</t>
  </si>
  <si>
    <t xml:space="preserve">Hardware / Cloud</t>
  </si>
  <si>
    <t xml:space="preserve">Cloud server, database, file storage and backups; video-conferencing API</t>
  </si>
  <si>
    <t xml:space="preserve">Reliable 24/7 access; online sessions without needing physical rooms.</t>
  </si>
  <si>
    <t xml:space="preserve">Notifications</t>
  </si>
  <si>
    <t xml:space="preserve">Push/SMS/email gateway fees for booking confirmations and session reminders</t>
  </si>
  <si>
    <t xml:space="preserve">Timely reminders reduce no-shows and missed sessions.</t>
  </si>
  <si>
    <t xml:space="preserve">Training</t>
  </si>
  <si>
    <t xml:space="preserve">Short guides and sessions for students, tutors and administrators</t>
  </si>
  <si>
    <t xml:space="preserve">Smooth adoption and correct use of the system.</t>
  </si>
  <si>
    <t xml:space="preserve">Maintenance</t>
  </si>
  <si>
    <t xml:space="preserve">Annual updates, bug fixes, hosting, security patches, user support</t>
  </si>
  <si>
    <t xml:space="preserve">Keeps the system reliable and secure.</t>
  </si>
  <si>
    <t xml:space="preserve">Administration</t>
  </si>
  <si>
    <t xml:space="preserve">Current manual process (notice boards, group chats, spreadsheets for pairing students and tutors)</t>
  </si>
  <si>
    <t xml:space="preserve">Replaced by automated matching, booking records and reports.</t>
  </si>
  <si>
    <t xml:space="preserve">Student Outcomes</t>
  </si>
  <si>
    <t xml:space="preserve">Students without tutoring support struggle in difficult courses, fail or drop out</t>
  </si>
  <si>
    <t xml:space="preserve">Higher grades, fewer failures, better satisfaction and income for peer tutors.</t>
  </si>
  <si>
    <t xml:space="preserve">Intangible but high value</t>
  </si>
  <si>
    <t xml:space="preserve">Total</t>
  </si>
  <si>
    <t xml:space="preserve">Summary</t>
  </si>
  <si>
    <t xml:space="preserve">Total Estimated Costs (first year)</t>
  </si>
  <si>
    <t xml:space="preserve">Total Estimated Annual Benefits/Savings</t>
  </si>
  <si>
    <t xml:space="preserve">Net Benefit – Year 1 (benefits minus average cost)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</si>
</sst>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8.71"/>
    <col collapsed="false" customWidth="true" hidden="false" outlineLevel="0" max="2" min="2" style="1" width="80"/>
    <col collapsed="false" customWidth="true" hidden="false" outlineLevel="0" max="3" min="3" style="1" width="119.86"/>
    <col collapsed="false" customWidth="true" hidden="false" outlineLevel="0" max="4" min="4" style="1" width="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4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61.5" hidden="false" customHeight="true" outlineLevel="0" collapsed="false">
      <c r="A5" s="5" t="s">
        <v>6</v>
      </c>
      <c r="B5" s="6" t="s">
        <v>7</v>
      </c>
      <c r="C5" s="6" t="s">
        <v>8</v>
      </c>
      <c r="D5" s="6" t="s">
        <v>9</v>
      </c>
    </row>
    <row r="6" customFormat="false" ht="61.5" hidden="false" customHeight="true" outlineLevel="0" collapsed="false">
      <c r="A6" s="5" t="s">
        <v>10</v>
      </c>
      <c r="B6" s="6" t="s">
        <v>11</v>
      </c>
      <c r="C6" s="6" t="s">
        <v>12</v>
      </c>
      <c r="D6" s="6" t="s">
        <v>13</v>
      </c>
    </row>
    <row r="7" customFormat="false" ht="61.5" hidden="false" customHeight="true" outlineLevel="0" collapsed="false">
      <c r="A7" s="5" t="s">
        <v>14</v>
      </c>
      <c r="B7" s="6" t="s">
        <v>15</v>
      </c>
      <c r="C7" s="6" t="s">
        <v>16</v>
      </c>
      <c r="D7" s="6" t="s">
        <v>17</v>
      </c>
    </row>
    <row r="8" customFormat="false" ht="61.5" hidden="false" customHeight="true" outlineLevel="0" collapsed="false">
      <c r="A8" s="5" t="s">
        <v>18</v>
      </c>
      <c r="B8" s="6" t="s">
        <v>19</v>
      </c>
      <c r="C8" s="6" t="s">
        <v>20</v>
      </c>
      <c r="D8" s="6" t="s">
        <v>21</v>
      </c>
    </row>
    <row r="9" customFormat="false" ht="61.5" hidden="false" customHeight="true" outlineLevel="0" collapsed="false">
      <c r="A9" s="5" t="s">
        <v>22</v>
      </c>
      <c r="B9" s="6" t="s">
        <v>23</v>
      </c>
      <c r="C9" s="6" t="s">
        <v>24</v>
      </c>
      <c r="D9" s="6" t="s">
        <v>25</v>
      </c>
    </row>
    <row r="11" customFormat="false" ht="15" hidden="false" customHeight="true" outlineLevel="0" collapsed="false">
      <c r="A11" s="7"/>
      <c r="B1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52"/>
    <col collapsed="false" customWidth="true" hidden="false" outlineLevel="0" max="4" min="3" style="1" width="14"/>
    <col collapsed="false" customWidth="true" hidden="false" outlineLevel="0" max="5" min="5" style="1" width="48"/>
    <col collapsed="false" customWidth="true" hidden="false" outlineLevel="0" max="6" min="6" style="1" width="20"/>
  </cols>
  <sheetData>
    <row r="1" customFormat="false" ht="17.25" hidden="false" customHeight="true" outlineLevel="0" collapsed="false">
      <c r="A1" s="2" t="s">
        <v>26</v>
      </c>
    </row>
    <row r="2" customFormat="false" ht="15" hidden="false" customHeight="true" outlineLevel="0" collapsed="false">
      <c r="A2" s="3"/>
    </row>
    <row r="4" customFormat="false" ht="31.5" hidden="false" customHeight="true" outlineLevel="0" collapsed="false">
      <c r="A4" s="9" t="s">
        <v>27</v>
      </c>
      <c r="B4" s="9" t="s">
        <v>28</v>
      </c>
      <c r="C4" s="9" t="s">
        <v>29</v>
      </c>
      <c r="D4" s="9" t="s">
        <v>30</v>
      </c>
      <c r="E4" s="9" t="s">
        <v>31</v>
      </c>
      <c r="F4" s="9" t="s">
        <v>32</v>
      </c>
    </row>
    <row r="5" customFormat="false" ht="45" hidden="false" customHeight="true" outlineLevel="0" collapsed="false">
      <c r="A5" s="10" t="s">
        <v>33</v>
      </c>
      <c r="B5" s="11" t="s">
        <v>34</v>
      </c>
      <c r="C5" s="12" t="n">
        <v>3000</v>
      </c>
      <c r="D5" s="12" t="n">
        <v>8000</v>
      </c>
      <c r="E5" s="11" t="s">
        <v>35</v>
      </c>
      <c r="F5" s="12" t="n">
        <v>4000</v>
      </c>
    </row>
    <row r="6" customFormat="false" ht="45" hidden="false" customHeight="true" outlineLevel="0" collapsed="false">
      <c r="A6" s="10" t="s">
        <v>36</v>
      </c>
      <c r="B6" s="11" t="s">
        <v>37</v>
      </c>
      <c r="C6" s="12" t="n">
        <v>1200</v>
      </c>
      <c r="D6" s="12" t="n">
        <v>3000</v>
      </c>
      <c r="E6" s="11" t="s">
        <v>38</v>
      </c>
      <c r="F6" s="12" t="n">
        <v>2000</v>
      </c>
    </row>
    <row r="7" customFormat="false" ht="45" hidden="false" customHeight="true" outlineLevel="0" collapsed="false">
      <c r="A7" s="10" t="s">
        <v>39</v>
      </c>
      <c r="B7" s="11" t="s">
        <v>40</v>
      </c>
      <c r="C7" s="12" t="n">
        <v>300</v>
      </c>
      <c r="D7" s="12" t="n">
        <v>800</v>
      </c>
      <c r="E7" s="11" t="s">
        <v>41</v>
      </c>
      <c r="F7" s="12" t="n">
        <v>1500</v>
      </c>
    </row>
    <row r="8" customFormat="false" ht="45" hidden="false" customHeight="true" outlineLevel="0" collapsed="false">
      <c r="A8" s="10" t="s">
        <v>42</v>
      </c>
      <c r="B8" s="11" t="s">
        <v>43</v>
      </c>
      <c r="C8" s="12" t="n">
        <v>300</v>
      </c>
      <c r="D8" s="12" t="n">
        <v>800</v>
      </c>
      <c r="E8" s="11" t="s">
        <v>44</v>
      </c>
      <c r="F8" s="12" t="n">
        <v>1000</v>
      </c>
    </row>
    <row r="9" customFormat="false" ht="45" hidden="false" customHeight="true" outlineLevel="0" collapsed="false">
      <c r="A9" s="10" t="s">
        <v>45</v>
      </c>
      <c r="B9" s="11" t="s">
        <v>46</v>
      </c>
      <c r="C9" s="12" t="n">
        <v>900</v>
      </c>
      <c r="D9" s="12" t="n">
        <v>1800</v>
      </c>
      <c r="E9" s="11" t="s">
        <v>47</v>
      </c>
      <c r="F9" s="12" t="n">
        <v>2000</v>
      </c>
    </row>
    <row r="10" customFormat="false" ht="45" hidden="false" customHeight="true" outlineLevel="0" collapsed="false">
      <c r="A10" s="10" t="s">
        <v>48</v>
      </c>
      <c r="B10" s="11" t="s">
        <v>49</v>
      </c>
      <c r="C10" s="12" t="n">
        <v>0</v>
      </c>
      <c r="D10" s="12" t="n">
        <v>0</v>
      </c>
      <c r="E10" s="11" t="s">
        <v>50</v>
      </c>
      <c r="F10" s="12" t="n">
        <v>1500</v>
      </c>
    </row>
    <row r="11" customFormat="false" ht="45" hidden="false" customHeight="true" outlineLevel="0" collapsed="false">
      <c r="A11" s="10" t="s">
        <v>51</v>
      </c>
      <c r="B11" s="11" t="s">
        <v>52</v>
      </c>
      <c r="C11" s="12" t="n">
        <v>0</v>
      </c>
      <c r="D11" s="12" t="n">
        <v>0</v>
      </c>
      <c r="E11" s="11" t="s">
        <v>53</v>
      </c>
      <c r="F11" s="11" t="s">
        <v>54</v>
      </c>
    </row>
    <row r="12" customFormat="false" ht="15" hidden="false" customHeight="true" outlineLevel="0" collapsed="false">
      <c r="A12" s="13" t="s">
        <v>55</v>
      </c>
      <c r="B12" s="14"/>
      <c r="C12" s="15" t="n">
        <f aca="false">SUM(C5:C11)</f>
        <v>5700</v>
      </c>
      <c r="D12" s="15" t="n">
        <f aca="false">SUM(D5:D11)</f>
        <v>14400</v>
      </c>
      <c r="E12" s="14"/>
      <c r="F12" s="15" t="n">
        <f aca="false">SUM(F5:F11)</f>
        <v>12000</v>
      </c>
    </row>
    <row r="15" customFormat="false" ht="15" hidden="false" customHeight="true" outlineLevel="0" collapsed="false">
      <c r="A15" s="16" t="s">
        <v>56</v>
      </c>
    </row>
    <row r="16" customFormat="false" ht="15" hidden="false" customHeight="true" outlineLevel="0" collapsed="false">
      <c r="A16" s="17" t="s">
        <v>57</v>
      </c>
      <c r="B16" s="17"/>
      <c r="C16" s="18" t="str">
        <f aca="false">"$"&amp;TEXT(C12,"#,##0")&amp;" – $"&amp;TEXT(D12,"#,##0")</f>
        <v>$5,700 – $14,400</v>
      </c>
    </row>
    <row r="17" customFormat="false" ht="15" hidden="false" customHeight="true" outlineLevel="0" collapsed="false">
      <c r="A17" s="17" t="s">
        <v>58</v>
      </c>
      <c r="B17" s="17"/>
      <c r="C17" s="18" t="str">
        <f aca="false">"$"&amp;TEXT(F12,"#,##0")&amp;"+"</f>
        <v>$12,000+</v>
      </c>
    </row>
    <row r="18" customFormat="false" ht="15" hidden="false" customHeight="true" outlineLevel="0" collapsed="false">
      <c r="A18" s="17" t="s">
        <v>59</v>
      </c>
      <c r="B18" s="17"/>
      <c r="C18" s="19" t="n">
        <f aca="false">F12-AVERAGE(C12,D12)</f>
        <v>1950</v>
      </c>
    </row>
    <row r="19" customFormat="false" ht="15" hidden="false" customHeight="true" outlineLevel="0" collapsed="false">
      <c r="A19" s="17"/>
      <c r="B19" s="17"/>
      <c r="C19" s="18"/>
    </row>
    <row r="20" customFormat="false" ht="34.5" hidden="false" customHeight="true" outlineLevel="0" collapsed="false">
      <c r="A20" s="17"/>
      <c r="B20" s="17"/>
      <c r="C20" s="20"/>
      <c r="D20" s="20"/>
      <c r="E20" s="20"/>
      <c r="F20" s="20"/>
    </row>
    <row r="22" customFormat="false" ht="15" hidden="false" customHeight="true" outlineLevel="0" collapsed="false">
      <c r="A22" s="21"/>
    </row>
  </sheetData>
  <mergeCells count="6">
    <mergeCell ref="A16:B16"/>
    <mergeCell ref="A17:B17"/>
    <mergeCell ref="A18:B18"/>
    <mergeCell ref="A19:B19"/>
    <mergeCell ref="A20:B20"/>
    <mergeCell ref="C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2026-10-03T12:07:49Z</dcterms:created>
  <dc:creator>openpyxl</dc:creator>
  <dc:description/>
  <dc:language>en-US</dc:language>
  <cp:lastModifiedBy/>
  <dcterms:modified xsi:type="dcterms:W3CDTF">2026-10-13T02:58:25Z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